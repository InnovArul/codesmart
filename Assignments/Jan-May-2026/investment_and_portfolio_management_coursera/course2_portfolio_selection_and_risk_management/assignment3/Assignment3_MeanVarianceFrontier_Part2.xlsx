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GOBGxcb3HLZcd8LahplRzeLMZ3Kn6rAzQ+HSLRquu0Y="/>
    </ext>
  </extLst>
</workbook>
</file>

<file path=xl/sharedStrings.xml><?xml version="1.0" encoding="utf-8"?>
<sst xmlns="http://schemas.openxmlformats.org/spreadsheetml/2006/main" count="23" uniqueCount="15">
  <si>
    <t>Instructions:</t>
  </si>
  <si>
    <t>Please format portfolio expected return and volatility as 'Percentage' with four digits after the decimal point.</t>
  </si>
  <si>
    <t>Please format portfolio expected return and volatility as 'Percentage' with three digits after the decimal point.</t>
  </si>
  <si>
    <t>Please format the portfolio weight as 'Number' with two digits after the decimal point.</t>
  </si>
  <si>
    <t>Expected return</t>
  </si>
  <si>
    <t>Volatility</t>
  </si>
  <si>
    <t>Let w denote the weight of Japan in a UK-Japan portfolio</t>
  </si>
  <si>
    <t>Find the weights for the minimum varinace portfolio you can create from these two risky assets</t>
  </si>
  <si>
    <t>UK</t>
  </si>
  <si>
    <t>w</t>
  </si>
  <si>
    <t>Portfolio expected return</t>
  </si>
  <si>
    <t>Portfolio volatility</t>
  </si>
  <si>
    <t>Japan</t>
  </si>
  <si>
    <t>Japan's weight</t>
  </si>
  <si>
    <t>UK's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</si>
</sst>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%"/>
    <numFmt numFmtId="165" formatCode="0.0000"/>
    <numFmt numFmtId="166" formatCode="0.0000%"/>
  </numFmts>
  <fonts count="7">
    <font>
      <sz val="12.0"/>
      <color theme="1"/>
      <name val="Calibri"/>
      <scheme val="minor"/>
    </font>
    <font>
      <b/>
      <sz val="12.0"/>
      <color rgb="FFC0000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800000"/>
      <name val="Calibri"/>
    </font>
    <font/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</fills>
  <borders count="8">
    <border/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2" fontId="3" numFmtId="0" xfId="0" applyAlignment="1" applyBorder="1" applyFont="1">
      <alignment horizontal="center"/>
    </xf>
    <xf borderId="3" fillId="3" fontId="4" numFmtId="0" xfId="0" applyAlignment="1" applyBorder="1" applyFill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6" fillId="2" fontId="3" numFmtId="0" xfId="0" applyBorder="1" applyFont="1"/>
    <xf borderId="7" fillId="2" fontId="3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/>
    </xf>
    <xf borderId="0" fillId="0" fontId="3" numFmtId="0" xfId="0" applyFont="1"/>
    <xf borderId="1" fillId="3" fontId="3" numFmtId="0" xfId="0" applyBorder="1" applyFont="1"/>
    <xf borderId="2" fillId="3" fontId="3" numFmtId="0" xfId="0" applyBorder="1" applyFont="1"/>
    <xf borderId="0" fillId="0" fontId="6" numFmtId="165" xfId="0" applyAlignment="1" applyFont="1" applyNumberFormat="1">
      <alignment horizontal="center" shrinkToFit="0" vertical="center" wrapText="1"/>
    </xf>
    <xf borderId="6" fillId="3" fontId="3" numFmtId="2" xfId="0" applyAlignment="1" applyBorder="1" applyFont="1" applyNumberFormat="1">
      <alignment horizontal="center"/>
    </xf>
    <xf borderId="7" fillId="4" fontId="3" numFmtId="164" xfId="0" applyAlignment="1" applyBorder="1" applyFill="1" applyFont="1" applyNumberFormat="1">
      <alignment readingOrder="0"/>
    </xf>
    <xf borderId="0" fillId="0" fontId="3" numFmtId="165" xfId="0" applyFont="1" applyNumberFormat="1"/>
    <xf borderId="6" fillId="3" fontId="3" numFmtId="0" xfId="0" applyBorder="1" applyFont="1"/>
    <xf borderId="7" fillId="4" fontId="3" numFmtId="4" xfId="0" applyAlignment="1" applyBorder="1" applyFont="1" applyNumberFormat="1">
      <alignment horizontal="center" readingOrder="0"/>
    </xf>
    <xf borderId="7" fillId="4" fontId="3" numFmtId="166" xfId="0" applyAlignment="1" applyBorder="1" applyFont="1" applyNumberFormat="1">
      <alignment readingOrder="0"/>
    </xf>
    <xf borderId="7" fillId="2" fontId="3" numFmtId="0" xfId="0" applyBorder="1" applyFont="1"/>
    <xf borderId="7" fillId="2" fontId="6" numFmtId="165" xfId="0" applyAlignment="1" applyBorder="1" applyFont="1" applyNumberFormat="1">
      <alignment horizontal="center" shrinkToFit="0" vertical="center" wrapText="1"/>
    </xf>
    <xf borderId="7" fillId="3" fontId="3" numFmtId="4" xfId="0" applyAlignment="1" applyBorder="1" applyFont="1" applyNumberFormat="1">
      <alignment horizontal="center"/>
    </xf>
    <xf borderId="7" fillId="3" fontId="3" numFmtId="0" xfId="0" applyBorder="1" applyFont="1"/>
    <xf borderId="7" fillId="2" fontId="3" numFmtId="165" xfId="0" applyAlignment="1" applyBorder="1" applyFont="1" applyNumberFormat="1">
      <alignment horizontal="center" shrinkToFit="0" wrapText="1"/>
    </xf>
    <xf borderId="0" fillId="0" fontId="3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1.0"/>
    <col customWidth="1" min="3" max="3" width="14.33"/>
    <col customWidth="1" min="4" max="5" width="11.0"/>
    <col customWidth="1" min="6" max="6" width="8.78"/>
    <col customWidth="1" min="7" max="7" width="14.11"/>
    <col customWidth="1" min="8" max="8" width="28.0"/>
    <col customWidth="1" min="9" max="9" width="27.0"/>
    <col customWidth="1" min="10" max="10" width="26.67"/>
    <col customWidth="1" min="11" max="11" width="5.78"/>
    <col customWidth="1" min="12" max="12" width="13.11"/>
    <col customWidth="1" min="13" max="13" width="11.0"/>
    <col customWidth="1" min="14" max="14" width="21.78"/>
    <col customWidth="1" min="15" max="15" width="20.78"/>
    <col customWidth="1" min="16" max="26" width="11.0"/>
  </cols>
  <sheetData>
    <row r="1">
      <c r="L1" s="1" t="s">
        <v>0</v>
      </c>
    </row>
    <row r="2">
      <c r="G2" s="1" t="s">
        <v>0</v>
      </c>
      <c r="L2" s="2" t="s">
        <v>1</v>
      </c>
    </row>
    <row r="3">
      <c r="G3" s="2" t="s">
        <v>2</v>
      </c>
      <c r="L3" s="2" t="s">
        <v>3</v>
      </c>
    </row>
    <row r="5">
      <c r="B5" s="3"/>
      <c r="C5" s="4" t="s">
        <v>4</v>
      </c>
      <c r="D5" s="4" t="s">
        <v>5</v>
      </c>
      <c r="G5" s="5" t="s">
        <v>6</v>
      </c>
      <c r="H5" s="6"/>
      <c r="I5" s="7"/>
      <c r="L5" s="5" t="s">
        <v>7</v>
      </c>
      <c r="M5" s="6"/>
      <c r="N5" s="6"/>
      <c r="O5" s="6"/>
      <c r="P5" s="6"/>
      <c r="Q5" s="6"/>
      <c r="R5" s="7"/>
    </row>
    <row r="6">
      <c r="B6" s="8" t="s">
        <v>8</v>
      </c>
      <c r="C6" s="9">
        <v>0.1589</v>
      </c>
      <c r="D6" s="9">
        <v>0.243</v>
      </c>
      <c r="G6" s="10" t="s">
        <v>9</v>
      </c>
      <c r="H6" s="11" t="s">
        <v>10</v>
      </c>
      <c r="I6" s="11" t="s">
        <v>11</v>
      </c>
      <c r="J6" s="12"/>
      <c r="K6" s="12"/>
      <c r="L6" s="13"/>
      <c r="M6" s="10" t="s">
        <v>9</v>
      </c>
      <c r="N6" s="14" t="s">
        <v>10</v>
      </c>
      <c r="O6" s="11" t="s">
        <v>11</v>
      </c>
    </row>
    <row r="7">
      <c r="A7" s="15"/>
      <c r="B7" s="8" t="s">
        <v>12</v>
      </c>
      <c r="C7" s="9">
        <v>0.1497</v>
      </c>
      <c r="D7" s="9">
        <v>0.2298</v>
      </c>
      <c r="G7" s="16">
        <v>0.0</v>
      </c>
      <c r="H7" s="17">
        <v>0.1589</v>
      </c>
      <c r="I7" s="17">
        <v>0.243</v>
      </c>
      <c r="J7" s="18"/>
      <c r="K7" s="18"/>
      <c r="L7" s="19" t="s">
        <v>13</v>
      </c>
      <c r="M7" s="20">
        <v>0.56</v>
      </c>
      <c r="N7" s="21">
        <v>0.153748</v>
      </c>
      <c r="O7" s="21">
        <v>0.204333</v>
      </c>
    </row>
    <row r="8">
      <c r="A8" s="15"/>
      <c r="B8" s="22"/>
      <c r="C8" s="23"/>
      <c r="D8" s="23"/>
      <c r="G8" s="16">
        <f t="shared" ref="G8:G107" si="1">+G7+0.01</f>
        <v>0.01</v>
      </c>
      <c r="H8" s="17">
        <v>0.158808</v>
      </c>
      <c r="I8" s="17">
        <v>0.241727192438087</v>
      </c>
      <c r="J8" s="18"/>
      <c r="K8" s="18"/>
      <c r="L8" s="19" t="s">
        <v>14</v>
      </c>
      <c r="M8" s="24">
        <f>1-M7</f>
        <v>0.44</v>
      </c>
      <c r="N8" s="25"/>
      <c r="O8" s="25"/>
    </row>
    <row r="9">
      <c r="A9" s="15"/>
      <c r="B9" s="3"/>
      <c r="C9" s="4" t="s">
        <v>8</v>
      </c>
      <c r="D9" s="4" t="s">
        <v>12</v>
      </c>
      <c r="G9" s="16">
        <f t="shared" si="1"/>
        <v>0.02</v>
      </c>
      <c r="H9" s="17">
        <v>0.158716</v>
      </c>
      <c r="I9" s="17">
        <v>0.240470942643805</v>
      </c>
      <c r="J9" s="18"/>
      <c r="K9" s="18"/>
    </row>
    <row r="10">
      <c r="B10" s="8" t="s">
        <v>8</v>
      </c>
      <c r="C10" s="26">
        <v>1.0</v>
      </c>
      <c r="D10" s="26">
        <v>0.5</v>
      </c>
      <c r="G10" s="16">
        <f t="shared" si="1"/>
        <v>0.03</v>
      </c>
      <c r="H10" s="17">
        <v>0.158624</v>
      </c>
      <c r="I10" s="17">
        <v>0.239231511461179</v>
      </c>
      <c r="J10" s="18"/>
      <c r="K10" s="18"/>
    </row>
    <row r="11">
      <c r="B11" s="8" t="s">
        <v>12</v>
      </c>
      <c r="C11" s="26">
        <v>0.5</v>
      </c>
      <c r="D11" s="26">
        <v>1.0</v>
      </c>
      <c r="G11" s="16">
        <f t="shared" si="1"/>
        <v>0.04</v>
      </c>
      <c r="H11" s="17">
        <v>0.158532</v>
      </c>
      <c r="I11" s="17">
        <v>0.238009161638791</v>
      </c>
      <c r="J11" s="18"/>
      <c r="K11" s="18"/>
    </row>
    <row r="12">
      <c r="G12" s="16">
        <f t="shared" si="1"/>
        <v>0.05</v>
      </c>
      <c r="H12" s="17">
        <v>0.15844</v>
      </c>
      <c r="I12" s="17">
        <v>0.236804157691541</v>
      </c>
      <c r="J12" s="18"/>
      <c r="K12" s="18"/>
    </row>
    <row r="13">
      <c r="G13" s="16">
        <f t="shared" si="1"/>
        <v>0.06</v>
      </c>
      <c r="H13" s="17">
        <v>0.158348</v>
      </c>
      <c r="I13" s="17">
        <v>0.235616765753204</v>
      </c>
      <c r="J13" s="18"/>
      <c r="K13" s="18"/>
    </row>
    <row r="14">
      <c r="G14" s="16">
        <f t="shared" si="1"/>
        <v>0.07</v>
      </c>
      <c r="H14" s="17">
        <v>0.158256</v>
      </c>
      <c r="I14" s="17">
        <v>0.234447253419613</v>
      </c>
      <c r="J14" s="18"/>
      <c r="K14" s="18"/>
    </row>
    <row r="15">
      <c r="G15" s="16">
        <f t="shared" si="1"/>
        <v>0.08</v>
      </c>
      <c r="H15" s="17">
        <v>0.158164</v>
      </c>
      <c r="I15" s="17">
        <v>0.233295889582307</v>
      </c>
      <c r="J15" s="18"/>
      <c r="K15" s="18"/>
    </row>
    <row r="16">
      <c r="G16" s="16">
        <f t="shared" si="1"/>
        <v>0.09</v>
      </c>
      <c r="H16" s="17">
        <v>0.158072</v>
      </c>
      <c r="I16" s="17">
        <v>0.232162944252523</v>
      </c>
      <c r="J16" s="18"/>
      <c r="K16" s="18"/>
    </row>
    <row r="17">
      <c r="G17" s="16">
        <f t="shared" si="1"/>
        <v>0.1</v>
      </c>
      <c r="H17" s="17">
        <v>0.15798</v>
      </c>
      <c r="I17" s="17">
        <v>0.231048688375416</v>
      </c>
      <c r="J17" s="18"/>
      <c r="K17" s="18"/>
    </row>
    <row r="18">
      <c r="G18" s="16">
        <f t="shared" si="1"/>
        <v>0.11</v>
      </c>
      <c r="H18" s="17">
        <v>0.157888</v>
      </c>
      <c r="I18" s="17">
        <v>0.229953393634449</v>
      </c>
      <c r="J18" s="18"/>
      <c r="K18" s="18"/>
    </row>
    <row r="19">
      <c r="G19" s="16">
        <f t="shared" si="1"/>
        <v>0.12</v>
      </c>
      <c r="H19" s="17">
        <v>0.157796</v>
      </c>
      <c r="I19" s="17">
        <v>0.2288773322459</v>
      </c>
      <c r="J19" s="18"/>
      <c r="K19" s="18"/>
    </row>
    <row r="20">
      <c r="G20" s="16">
        <f t="shared" si="1"/>
        <v>0.13</v>
      </c>
      <c r="H20" s="17">
        <v>0.157704</v>
      </c>
      <c r="I20" s="17">
        <v>0.227820776743474</v>
      </c>
      <c r="J20" s="18"/>
      <c r="K20" s="18"/>
    </row>
    <row r="21" ht="15.75" customHeight="1">
      <c r="G21" s="16">
        <f t="shared" si="1"/>
        <v>0.14</v>
      </c>
      <c r="H21" s="17">
        <v>0.157612</v>
      </c>
      <c r="I21" s="17">
        <v>0.226783999753069</v>
      </c>
      <c r="J21" s="18"/>
      <c r="K21" s="18"/>
    </row>
    <row r="22" ht="15.75" customHeight="1">
      <c r="G22" s="16">
        <f t="shared" si="1"/>
        <v>0.15</v>
      </c>
      <c r="H22" s="17">
        <v>0.15752</v>
      </c>
      <c r="I22" s="17">
        <v>0.225767273757735</v>
      </c>
      <c r="J22" s="18"/>
      <c r="K22" s="18"/>
    </row>
    <row r="23" ht="15.75" customHeight="1">
      <c r="G23" s="16">
        <f t="shared" si="1"/>
        <v>0.16</v>
      </c>
      <c r="H23" s="17">
        <v>0.157428</v>
      </c>
      <c r="I23" s="17">
        <v>0.224770870852964</v>
      </c>
      <c r="J23" s="18"/>
      <c r="K23" s="18"/>
    </row>
    <row r="24" ht="15.75" customHeight="1">
      <c r="G24" s="16">
        <f t="shared" si="1"/>
        <v>0.17</v>
      </c>
      <c r="H24" s="17">
        <v>0.157336</v>
      </c>
      <c r="I24" s="17">
        <v>0.223795062492451</v>
      </c>
      <c r="J24" s="18"/>
      <c r="K24" s="18"/>
    </row>
    <row r="25" ht="15.75" customHeight="1">
      <c r="G25" s="16">
        <f t="shared" si="1"/>
        <v>0.18</v>
      </c>
      <c r="H25" s="17">
        <v>0.157244</v>
      </c>
      <c r="I25" s="17">
        <v>0.222840119224524</v>
      </c>
      <c r="J25" s="18"/>
      <c r="K25" s="18"/>
    </row>
    <row r="26" ht="15.75" customHeight="1">
      <c r="G26" s="16">
        <f t="shared" si="1"/>
        <v>0.19</v>
      </c>
      <c r="H26" s="17">
        <v>0.157152</v>
      </c>
      <c r="I26" s="17">
        <v>0.22190631041951</v>
      </c>
      <c r="J26" s="18"/>
      <c r="K26" s="18"/>
    </row>
    <row r="27" ht="15.75" customHeight="1">
      <c r="G27" s="16">
        <f t="shared" si="1"/>
        <v>0.2</v>
      </c>
      <c r="H27" s="17">
        <v>0.15706</v>
      </c>
      <c r="I27" s="17">
        <v>0.220993903988323</v>
      </c>
      <c r="J27" s="18"/>
      <c r="K27" s="18"/>
    </row>
    <row r="28" ht="15.75" customHeight="1">
      <c r="G28" s="16">
        <f t="shared" si="1"/>
        <v>0.21</v>
      </c>
      <c r="H28" s="17">
        <v>0.156968</v>
      </c>
      <c r="I28" s="17">
        <v>0.22010316609263</v>
      </c>
      <c r="J28" s="18"/>
      <c r="K28" s="18"/>
    </row>
    <row r="29" ht="15.75" customHeight="1">
      <c r="G29" s="16">
        <f t="shared" si="1"/>
        <v>0.22</v>
      </c>
      <c r="H29" s="17">
        <v>0.156876</v>
      </c>
      <c r="I29" s="17">
        <v>0.219234360847017</v>
      </c>
      <c r="J29" s="18"/>
      <c r="K29" s="18"/>
    </row>
    <row r="30" ht="15.75" customHeight="1">
      <c r="G30" s="16">
        <f t="shared" si="1"/>
        <v>0.23</v>
      </c>
      <c r="H30" s="17">
        <v>0.156784</v>
      </c>
      <c r="I30" s="17">
        <v>0.218387750013594</v>
      </c>
      <c r="J30" s="18"/>
      <c r="K30" s="18"/>
    </row>
    <row r="31" ht="15.75" customHeight="1">
      <c r="G31" s="16">
        <f t="shared" si="1"/>
        <v>0.24</v>
      </c>
      <c r="H31" s="17">
        <v>0.156692</v>
      </c>
      <c r="I31" s="17">
        <v>0.217563592689586</v>
      </c>
      <c r="J31" s="18"/>
      <c r="K31" s="18"/>
    </row>
    <row r="32" ht="15.75" customHeight="1">
      <c r="G32" s="16">
        <f t="shared" si="1"/>
        <v>0.25</v>
      </c>
      <c r="H32" s="17">
        <v>0.1566</v>
      </c>
      <c r="I32" s="17">
        <v>0.216762144988464</v>
      </c>
      <c r="J32" s="18"/>
      <c r="K32" s="18"/>
    </row>
    <row r="33" ht="15.75" customHeight="1">
      <c r="G33" s="16">
        <f t="shared" si="1"/>
        <v>0.26</v>
      </c>
      <c r="H33" s="17">
        <v>0.156508</v>
      </c>
      <c r="I33" s="17">
        <v>0.215983659715266</v>
      </c>
      <c r="J33" s="18"/>
      <c r="K33" s="18"/>
    </row>
    <row r="34" ht="15.75" customHeight="1">
      <c r="G34" s="16">
        <f t="shared" si="1"/>
        <v>0.27</v>
      </c>
      <c r="H34" s="17">
        <v>0.156416</v>
      </c>
      <c r="I34" s="17">
        <v>0.215228386036787</v>
      </c>
      <c r="J34" s="18"/>
      <c r="K34" s="18"/>
    </row>
    <row r="35" ht="15.75" customHeight="1">
      <c r="G35" s="16">
        <f t="shared" si="1"/>
        <v>0.28</v>
      </c>
      <c r="H35" s="17">
        <v>0.156324</v>
      </c>
      <c r="I35" s="17">
        <v>0.214496569147388</v>
      </c>
      <c r="J35" s="18"/>
      <c r="K35" s="18"/>
    </row>
    <row r="36" ht="15.75" customHeight="1">
      <c r="G36" s="16">
        <f t="shared" si="1"/>
        <v>0.29</v>
      </c>
      <c r="H36" s="17">
        <v>0.156232</v>
      </c>
      <c r="I36" s="17">
        <v>0.213788449931235</v>
      </c>
      <c r="J36" s="18"/>
      <c r="K36" s="18"/>
    </row>
    <row r="37" ht="15.75" customHeight="1">
      <c r="G37" s="16">
        <f t="shared" si="1"/>
        <v>0.3</v>
      </c>
      <c r="H37" s="17">
        <v>0.15614</v>
      </c>
      <c r="I37" s="17">
        <v>0.213104264621804</v>
      </c>
      <c r="J37" s="18"/>
      <c r="K37" s="18"/>
    </row>
    <row r="38" ht="15.75" customHeight="1">
      <c r="G38" s="16">
        <f t="shared" si="1"/>
        <v>0.31</v>
      </c>
      <c r="H38" s="17">
        <v>0.156048</v>
      </c>
      <c r="I38" s="17">
        <v>0.212444244459576</v>
      </c>
      <c r="J38" s="18"/>
      <c r="K38" s="18"/>
    </row>
    <row r="39" ht="15.75" customHeight="1">
      <c r="G39" s="16">
        <f t="shared" si="1"/>
        <v>0.32</v>
      </c>
      <c r="H39" s="17">
        <v>0.155956</v>
      </c>
      <c r="I39" s="17">
        <v>0.211808615348857</v>
      </c>
      <c r="J39" s="18"/>
      <c r="K39" s="18"/>
    </row>
    <row r="40" ht="15.75" customHeight="1">
      <c r="G40" s="16">
        <f t="shared" si="1"/>
        <v>0.33</v>
      </c>
      <c r="H40" s="17">
        <v>0.155864</v>
      </c>
      <c r="I40" s="17">
        <v>0.211197597514745</v>
      </c>
      <c r="J40" s="18"/>
      <c r="K40" s="18"/>
    </row>
    <row r="41" ht="15.75" customHeight="1">
      <c r="G41" s="16">
        <f t="shared" si="1"/>
        <v>0.34</v>
      </c>
      <c r="H41" s="17">
        <v>0.155772</v>
      </c>
      <c r="I41" s="17">
        <v>0.210611405161259</v>
      </c>
      <c r="J41" s="18"/>
      <c r="K41" s="18"/>
    </row>
    <row r="42" ht="15.75" customHeight="1">
      <c r="G42" s="16">
        <f t="shared" si="1"/>
        <v>0.35</v>
      </c>
      <c r="H42" s="17">
        <v>0.15568</v>
      </c>
      <c r="I42" s="17">
        <v>0.210050246131729</v>
      </c>
      <c r="J42" s="18"/>
      <c r="K42" s="18"/>
    </row>
    <row r="43" ht="15.75" customHeight="1">
      <c r="G43" s="16">
        <f t="shared" si="1"/>
        <v>0.36</v>
      </c>
      <c r="H43" s="17">
        <v>0.155588</v>
      </c>
      <c r="I43" s="17">
        <v>0.209514321572536</v>
      </c>
      <c r="J43" s="18"/>
      <c r="K43" s="18"/>
    </row>
    <row r="44" ht="15.75" customHeight="1">
      <c r="G44" s="16">
        <f t="shared" si="1"/>
        <v>0.37</v>
      </c>
      <c r="H44" s="17">
        <v>0.155496</v>
      </c>
      <c r="I44" s="17">
        <v>0.209003825601351</v>
      </c>
      <c r="J44" s="18"/>
      <c r="K44" s="18"/>
    </row>
    <row r="45" ht="15.75" customHeight="1">
      <c r="G45" s="16">
        <f t="shared" si="1"/>
        <v>0.38</v>
      </c>
      <c r="H45" s="17">
        <v>0.155404</v>
      </c>
      <c r="I45" s="17">
        <v>0.208518944981026</v>
      </c>
      <c r="J45" s="18"/>
      <c r="K45" s="18"/>
    </row>
    <row r="46" ht="15.75" customHeight="1">
      <c r="G46" s="16">
        <f t="shared" si="1"/>
        <v>0.39</v>
      </c>
      <c r="H46" s="17">
        <v>0.155312</v>
      </c>
      <c r="I46" s="17">
        <v>0.208059858800298</v>
      </c>
      <c r="J46" s="18"/>
      <c r="K46" s="18"/>
    </row>
    <row r="47" ht="15.75" customHeight="1">
      <c r="G47" s="16">
        <f t="shared" si="1"/>
        <v>0.4</v>
      </c>
      <c r="H47" s="17">
        <v>0.15522</v>
      </c>
      <c r="I47" s="17">
        <v>0.207626738162502</v>
      </c>
      <c r="J47" s="18"/>
      <c r="K47" s="18"/>
    </row>
    <row r="48" ht="15.75" customHeight="1">
      <c r="G48" s="16">
        <f t="shared" si="1"/>
        <v>0.41</v>
      </c>
      <c r="H48" s="17">
        <v>0.155128</v>
      </c>
      <c r="I48" s="17">
        <v>0.207219745883446</v>
      </c>
      <c r="J48" s="18"/>
      <c r="K48" s="18"/>
    </row>
    <row r="49" ht="15.75" customHeight="1">
      <c r="G49" s="16">
        <f t="shared" si="1"/>
        <v>0.42</v>
      </c>
      <c r="H49" s="17">
        <v>0.155036</v>
      </c>
      <c r="I49" s="17">
        <v>0.20683903619965</v>
      </c>
      <c r="J49" s="18"/>
      <c r="K49" s="18"/>
    </row>
    <row r="50" ht="15.75" customHeight="1">
      <c r="G50" s="16">
        <f t="shared" si="1"/>
        <v>0.43</v>
      </c>
      <c r="H50" s="17">
        <v>0.154944</v>
      </c>
      <c r="I50" s="17">
        <v>0.206484754488074</v>
      </c>
      <c r="J50" s="18"/>
      <c r="K50" s="18"/>
    </row>
    <row r="51" ht="15.75" customHeight="1">
      <c r="G51" s="16">
        <f t="shared" si="1"/>
        <v>0.44</v>
      </c>
      <c r="H51" s="17">
        <v>0.154852</v>
      </c>
      <c r="I51" s="17">
        <v>0.206157036998498</v>
      </c>
      <c r="J51" s="18"/>
      <c r="K51" s="18"/>
    </row>
    <row r="52" ht="15.75" customHeight="1">
      <c r="G52" s="16">
        <f t="shared" si="1"/>
        <v>0.45</v>
      </c>
      <c r="H52" s="17">
        <v>0.15476</v>
      </c>
      <c r="I52" s="17">
        <v>0.205856010599642</v>
      </c>
      <c r="J52" s="18"/>
      <c r="K52" s="18"/>
    </row>
    <row r="53" ht="15.75" customHeight="1">
      <c r="G53" s="16">
        <f t="shared" si="1"/>
        <v>0.46</v>
      </c>
      <c r="H53" s="17">
        <v>0.154668</v>
      </c>
      <c r="I53" s="17">
        <v>0.205581792540098</v>
      </c>
      <c r="J53" s="18"/>
      <c r="K53" s="18"/>
    </row>
    <row r="54" ht="15.75" customHeight="1">
      <c r="G54" s="16">
        <f t="shared" si="1"/>
        <v>0.47</v>
      </c>
      <c r="H54" s="17">
        <v>0.154576</v>
      </c>
      <c r="I54" s="17">
        <v>0.205334490225096</v>
      </c>
      <c r="J54" s="18"/>
      <c r="K54" s="18"/>
    </row>
    <row r="55" ht="15.75" customHeight="1">
      <c r="G55" s="16">
        <f t="shared" si="1"/>
        <v>0.48</v>
      </c>
      <c r="H55" s="17">
        <v>0.154484</v>
      </c>
      <c r="I55" s="17">
        <v>0.205114201010072</v>
      </c>
      <c r="J55" s="18"/>
      <c r="K55" s="18"/>
    </row>
    <row r="56" ht="15.75" customHeight="1">
      <c r="G56" s="16">
        <f t="shared" si="1"/>
        <v>0.49</v>
      </c>
      <c r="H56" s="17">
        <v>0.154392</v>
      </c>
      <c r="I56" s="17">
        <v>0.204921012011946</v>
      </c>
      <c r="J56" s="18"/>
      <c r="K56" s="18"/>
    </row>
    <row r="57" ht="15.75" customHeight="1">
      <c r="G57" s="16">
        <f t="shared" si="1"/>
        <v>0.5</v>
      </c>
      <c r="H57" s="17">
        <v>0.1543</v>
      </c>
      <c r="I57" s="17">
        <v>0.204754999938951</v>
      </c>
      <c r="J57" s="18"/>
      <c r="K57" s="18"/>
    </row>
    <row r="58" ht="15.75" customHeight="1">
      <c r="G58" s="16">
        <f t="shared" si="1"/>
        <v>0.51</v>
      </c>
      <c r="H58" s="17">
        <v>0.154208</v>
      </c>
      <c r="I58" s="17">
        <v>0.204616230939777</v>
      </c>
      <c r="J58" s="18"/>
      <c r="K58" s="18"/>
    </row>
    <row r="59" ht="15.75" customHeight="1">
      <c r="G59" s="16">
        <f t="shared" si="1"/>
        <v>0.52</v>
      </c>
      <c r="H59" s="17">
        <v>0.154116</v>
      </c>
      <c r="I59" s="17">
        <v>0.204504760472709</v>
      </c>
      <c r="J59" s="18"/>
      <c r="K59" s="18"/>
    </row>
    <row r="60" ht="15.75" customHeight="1">
      <c r="G60" s="16">
        <f t="shared" si="1"/>
        <v>0.53</v>
      </c>
      <c r="H60" s="17">
        <v>0.154024</v>
      </c>
      <c r="I60" s="17">
        <v>0.20442063319538</v>
      </c>
      <c r="J60" s="18"/>
      <c r="K60" s="18"/>
    </row>
    <row r="61" ht="15.75" customHeight="1">
      <c r="G61" s="16">
        <f t="shared" si="1"/>
        <v>0.54</v>
      </c>
      <c r="H61" s="17">
        <v>0.153932</v>
      </c>
      <c r="I61" s="17">
        <v>0.20436388287562</v>
      </c>
      <c r="J61" s="18"/>
      <c r="K61" s="18"/>
    </row>
    <row r="62" ht="15.75" customHeight="1">
      <c r="G62" s="16">
        <f t="shared" si="1"/>
        <v>0.55</v>
      </c>
      <c r="H62" s="17">
        <v>0.15384</v>
      </c>
      <c r="I62" s="17">
        <v>0.204334532323834</v>
      </c>
      <c r="J62" s="18"/>
      <c r="K62" s="18"/>
    </row>
    <row r="63" ht="15.75" customHeight="1">
      <c r="G63" s="16">
        <f t="shared" si="1"/>
        <v>0.56</v>
      </c>
      <c r="H63" s="17">
        <v>0.153748</v>
      </c>
      <c r="I63" s="17">
        <v>0.204332593347219</v>
      </c>
      <c r="J63" s="18"/>
      <c r="K63" s="18"/>
    </row>
    <row r="64" ht="15.75" customHeight="1">
      <c r="G64" s="16">
        <f t="shared" si="1"/>
        <v>0.57</v>
      </c>
      <c r="H64" s="17">
        <v>0.153656</v>
      </c>
      <c r="I64" s="17">
        <v>0.204358066726029</v>
      </c>
      <c r="J64" s="18"/>
      <c r="K64" s="18"/>
    </row>
    <row r="65" ht="15.75" customHeight="1">
      <c r="G65" s="16">
        <f t="shared" si="1"/>
        <v>0.58</v>
      </c>
      <c r="H65" s="17">
        <v>0.153564</v>
      </c>
      <c r="I65" s="17">
        <v>0.204410942212006</v>
      </c>
      <c r="J65" s="18"/>
      <c r="K65" s="18"/>
    </row>
    <row r="66" ht="15.75" customHeight="1">
      <c r="G66" s="16">
        <f t="shared" si="1"/>
        <v>0.59</v>
      </c>
      <c r="H66" s="17">
        <v>0.153472</v>
      </c>
      <c r="I66" s="17">
        <v>0.204491198548984</v>
      </c>
      <c r="J66" s="18"/>
      <c r="K66" s="18"/>
    </row>
    <row r="67" ht="15.75" customHeight="1">
      <c r="G67" s="16">
        <f t="shared" si="1"/>
        <v>0.6</v>
      </c>
      <c r="H67" s="17">
        <v>0.15338</v>
      </c>
      <c r="I67" s="17">
        <v>0.204598803515563</v>
      </c>
      <c r="J67" s="18"/>
      <c r="K67" s="18"/>
    </row>
    <row r="68" ht="15.75" customHeight="1">
      <c r="G68" s="16">
        <f t="shared" si="1"/>
        <v>0.61</v>
      </c>
      <c r="H68" s="17">
        <v>0.153288</v>
      </c>
      <c r="I68" s="17">
        <v>0.20473371398966</v>
      </c>
      <c r="J68" s="18"/>
      <c r="K68" s="18"/>
    </row>
    <row r="69" ht="15.75" customHeight="1">
      <c r="G69" s="16">
        <f t="shared" si="1"/>
        <v>0.62</v>
      </c>
      <c r="H69" s="17">
        <v>0.153196</v>
      </c>
      <c r="I69" s="17">
        <v>0.204895876034634</v>
      </c>
      <c r="J69" s="18"/>
      <c r="K69" s="18"/>
    </row>
    <row r="70" ht="15.75" customHeight="1">
      <c r="G70" s="16">
        <f t="shared" si="1"/>
        <v>0.63</v>
      </c>
      <c r="H70" s="17">
        <v>0.153104</v>
      </c>
      <c r="I70" s="17">
        <v>0.205085225006581</v>
      </c>
      <c r="J70" s="18"/>
      <c r="K70" s="18"/>
    </row>
    <row r="71" ht="15.75" customHeight="1">
      <c r="G71" s="16">
        <f t="shared" si="1"/>
        <v>0.64</v>
      </c>
      <c r="H71" s="17">
        <v>0.153012</v>
      </c>
      <c r="I71" s="17">
        <v>0.205301685682315</v>
      </c>
      <c r="J71" s="18"/>
      <c r="K71" s="18"/>
    </row>
    <row r="72" ht="15.75" customHeight="1">
      <c r="G72" s="16">
        <f t="shared" si="1"/>
        <v>0.65</v>
      </c>
      <c r="H72" s="17">
        <v>0.15292</v>
      </c>
      <c r="I72" s="17">
        <v>0.20554517240743</v>
      </c>
      <c r="J72" s="18"/>
      <c r="K72" s="18"/>
    </row>
    <row r="73" ht="15.75" customHeight="1">
      <c r="G73" s="16">
        <f t="shared" si="1"/>
        <v>0.66</v>
      </c>
      <c r="H73" s="17">
        <v>0.152828</v>
      </c>
      <c r="I73" s="17">
        <v>0.205815589263787</v>
      </c>
      <c r="J73" s="18"/>
      <c r="K73" s="18"/>
    </row>
    <row r="74" ht="15.75" customHeight="1">
      <c r="G74" s="16">
        <f t="shared" si="1"/>
        <v>0.67</v>
      </c>
      <c r="H74" s="17">
        <v>0.152736</v>
      </c>
      <c r="I74" s="17">
        <v>0.206112830255664</v>
      </c>
      <c r="J74" s="18"/>
      <c r="K74" s="18"/>
    </row>
    <row r="75" ht="15.75" customHeight="1">
      <c r="G75" s="16">
        <f t="shared" si="1"/>
        <v>0.68</v>
      </c>
      <c r="H75" s="17">
        <v>0.152644</v>
      </c>
      <c r="I75" s="17">
        <v>0.206436779513729</v>
      </c>
      <c r="J75" s="18"/>
      <c r="K75" s="18"/>
    </row>
    <row r="76" ht="15.75" customHeight="1">
      <c r="G76" s="16">
        <f t="shared" si="1"/>
        <v>0.69</v>
      </c>
      <c r="H76" s="17">
        <v>0.152552</v>
      </c>
      <c r="I76" s="17">
        <v>0.206787311515963</v>
      </c>
      <c r="J76" s="18"/>
      <c r="K76" s="18"/>
    </row>
    <row r="77" ht="15.75" customHeight="1">
      <c r="G77" s="16">
        <f t="shared" si="1"/>
        <v>0.7</v>
      </c>
      <c r="H77" s="17">
        <v>0.15246</v>
      </c>
      <c r="I77" s="17">
        <v>0.207164291324543</v>
      </c>
      <c r="J77" s="18"/>
      <c r="K77" s="18"/>
    </row>
    <row r="78" ht="15.75" customHeight="1">
      <c r="G78" s="16">
        <f t="shared" si="1"/>
        <v>0.71</v>
      </c>
      <c r="H78" s="17">
        <v>0.152368</v>
      </c>
      <c r="I78" s="17">
        <v>0.20756757483769</v>
      </c>
      <c r="J78" s="18"/>
      <c r="K78" s="18"/>
    </row>
    <row r="79" ht="15.75" customHeight="1">
      <c r="G79" s="16">
        <f t="shared" si="1"/>
        <v>0.72</v>
      </c>
      <c r="H79" s="17">
        <v>0.152276</v>
      </c>
      <c r="I79" s="17">
        <v>0.207997009055419</v>
      </c>
      <c r="J79" s="18"/>
      <c r="K79" s="18"/>
    </row>
    <row r="80" ht="15.75" customHeight="1">
      <c r="G80" s="16">
        <f t="shared" si="1"/>
        <v>0.73</v>
      </c>
      <c r="H80" s="17">
        <v>0.152184</v>
      </c>
      <c r="I80" s="17">
        <v>0.20845243235808</v>
      </c>
      <c r="J80" s="18"/>
      <c r="K80" s="18"/>
    </row>
    <row r="81" ht="15.75" customHeight="1">
      <c r="G81" s="16">
        <f t="shared" si="1"/>
        <v>0.74</v>
      </c>
      <c r="H81" s="17">
        <v>0.152092</v>
      </c>
      <c r="I81" s="17">
        <v>0.208933674796573</v>
      </c>
      <c r="J81" s="18"/>
      <c r="K81" s="18"/>
    </row>
    <row r="82" ht="15.75" customHeight="1">
      <c r="G82" s="16">
        <f t="shared" si="1"/>
        <v>0.75</v>
      </c>
      <c r="H82" s="17">
        <v>0.152</v>
      </c>
      <c r="I82" s="17">
        <v>0.209440558393068</v>
      </c>
      <c r="J82" s="18"/>
      <c r="K82" s="18"/>
    </row>
    <row r="83" ht="15.75" customHeight="1">
      <c r="G83" s="16">
        <f t="shared" si="1"/>
        <v>0.76</v>
      </c>
      <c r="H83" s="17">
        <v>0.151908</v>
      </c>
      <c r="I83" s="17">
        <v>0.209972897451076</v>
      </c>
      <c r="J83" s="18"/>
      <c r="K83" s="18"/>
    </row>
    <row r="84" ht="15.75" customHeight="1">
      <c r="G84" s="16">
        <f t="shared" si="1"/>
        <v>0.77</v>
      </c>
      <c r="H84" s="17">
        <v>0.151816</v>
      </c>
      <c r="I84" s="17">
        <v>0.210530498873679</v>
      </c>
      <c r="J84" s="18"/>
      <c r="K84" s="18"/>
    </row>
    <row r="85" ht="15.75" customHeight="1">
      <c r="G85" s="16">
        <f t="shared" si="1"/>
        <v>0.78</v>
      </c>
      <c r="H85" s="17">
        <v>0.151724</v>
      </c>
      <c r="I85" s="17">
        <v>0.211113162488747</v>
      </c>
      <c r="J85" s="18"/>
      <c r="K85" s="18"/>
    </row>
    <row r="86" ht="15.75" customHeight="1">
      <c r="G86" s="16">
        <f t="shared" si="1"/>
        <v>0.79</v>
      </c>
      <c r="H86" s="17">
        <v>0.151632</v>
      </c>
      <c r="I86" s="17">
        <v>0.211720681379973</v>
      </c>
      <c r="J86" s="18"/>
      <c r="K86" s="18"/>
    </row>
    <row r="87" ht="15.75" customHeight="1">
      <c r="G87" s="16">
        <f t="shared" si="1"/>
        <v>0.8</v>
      </c>
      <c r="H87" s="17">
        <v>0.15154</v>
      </c>
      <c r="I87" s="17">
        <v>0.212352842222561</v>
      </c>
      <c r="J87" s="18"/>
      <c r="K87" s="18"/>
    </row>
    <row r="88" ht="15.75" customHeight="1">
      <c r="G88" s="16">
        <f t="shared" si="1"/>
        <v>0.81</v>
      </c>
      <c r="H88" s="17">
        <v>0.151448</v>
      </c>
      <c r="I88" s="17">
        <v>0.213009425622436</v>
      </c>
      <c r="J88" s="18"/>
      <c r="K88" s="18"/>
    </row>
    <row r="89" ht="15.75" customHeight="1">
      <c r="G89" s="16">
        <f t="shared" si="1"/>
        <v>0.82</v>
      </c>
      <c r="H89" s="17">
        <v>0.151356</v>
      </c>
      <c r="I89" s="17">
        <v>0.213690206457853</v>
      </c>
      <c r="J89" s="18"/>
      <c r="K89" s="18"/>
    </row>
    <row r="90" ht="15.75" customHeight="1">
      <c r="G90" s="16">
        <f t="shared" si="1"/>
        <v>0.83</v>
      </c>
      <c r="H90" s="17">
        <v>0.151264</v>
      </c>
      <c r="I90" s="17">
        <v>0.214394954222342</v>
      </c>
      <c r="J90" s="18"/>
      <c r="K90" s="18"/>
    </row>
    <row r="91" ht="15.75" customHeight="1">
      <c r="G91" s="16">
        <f t="shared" si="1"/>
        <v>0.84</v>
      </c>
      <c r="H91" s="17">
        <v>0.151172</v>
      </c>
      <c r="I91" s="17">
        <v>0.215123433367916</v>
      </c>
      <c r="J91" s="18"/>
      <c r="K91" s="18"/>
    </row>
    <row r="92" ht="15.75" customHeight="1">
      <c r="G92" s="16">
        <f t="shared" si="1"/>
        <v>0.85</v>
      </c>
      <c r="H92" s="17">
        <v>0.15108</v>
      </c>
      <c r="I92" s="17">
        <v>0.215875403647567</v>
      </c>
      <c r="J92" s="18"/>
      <c r="K92" s="18"/>
    </row>
    <row r="93" ht="15.75" customHeight="1">
      <c r="G93" s="16">
        <f t="shared" si="1"/>
        <v>0.86</v>
      </c>
      <c r="H93" s="17">
        <v>0.150988</v>
      </c>
      <c r="I93" s="17">
        <v>0.21665062045607</v>
      </c>
      <c r="J93" s="18"/>
      <c r="K93" s="18"/>
    </row>
    <row r="94" ht="15.75" customHeight="1">
      <c r="G94" s="16">
        <f t="shared" si="1"/>
        <v>0.87</v>
      </c>
      <c r="H94" s="17">
        <v>0.150896</v>
      </c>
      <c r="I94" s="17">
        <v>0.217448835168184</v>
      </c>
      <c r="J94" s="18"/>
      <c r="K94" s="18"/>
    </row>
    <row r="95" ht="15.75" customHeight="1">
      <c r="G95" s="16">
        <f t="shared" si="1"/>
        <v>0.88</v>
      </c>
      <c r="H95" s="17">
        <v>0.150804</v>
      </c>
      <c r="I95" s="17">
        <v>0.2182697954734</v>
      </c>
      <c r="J95" s="18"/>
      <c r="K95" s="18"/>
    </row>
    <row r="96" ht="15.75" customHeight="1">
      <c r="G96" s="16">
        <f t="shared" si="1"/>
        <v>0.89</v>
      </c>
      <c r="H96" s="17">
        <v>0.150712</v>
      </c>
      <c r="I96" s="17">
        <v>0.219113245706416</v>
      </c>
      <c r="J96" s="18"/>
      <c r="K96" s="18"/>
    </row>
    <row r="97" ht="15.75" customHeight="1">
      <c r="G97" s="16">
        <f t="shared" si="1"/>
        <v>0.9</v>
      </c>
      <c r="H97" s="17">
        <v>0.15062</v>
      </c>
      <c r="I97" s="17">
        <v>0.219978927172582</v>
      </c>
      <c r="J97" s="18"/>
      <c r="K97" s="18"/>
    </row>
    <row r="98" ht="15.75" customHeight="1">
      <c r="G98" s="16">
        <f t="shared" si="1"/>
        <v>0.91</v>
      </c>
      <c r="H98" s="17">
        <v>0.150528</v>
      </c>
      <c r="I98" s="17">
        <v>0.220866578467635</v>
      </c>
      <c r="J98" s="18"/>
      <c r="K98" s="18"/>
    </row>
    <row r="99" ht="15.75" customHeight="1">
      <c r="G99" s="16">
        <f t="shared" si="1"/>
        <v>0.92</v>
      </c>
      <c r="H99" s="17">
        <v>0.150436</v>
      </c>
      <c r="I99" s="17">
        <v>0.221775935791059</v>
      </c>
      <c r="J99" s="18"/>
      <c r="K99" s="18"/>
    </row>
    <row r="100" ht="15.75" customHeight="1">
      <c r="G100" s="16">
        <f t="shared" si="1"/>
        <v>0.93</v>
      </c>
      <c r="H100" s="17">
        <v>0.150344</v>
      </c>
      <c r="I100" s="17">
        <v>0.2227067332525</v>
      </c>
      <c r="J100" s="18"/>
      <c r="K100" s="18"/>
    </row>
    <row r="101" ht="15.75" customHeight="1">
      <c r="G101" s="16">
        <f t="shared" si="1"/>
        <v>0.94</v>
      </c>
      <c r="H101" s="17">
        <v>0.150252</v>
      </c>
      <c r="I101" s="17">
        <v>0.223658703170702</v>
      </c>
      <c r="J101" s="18"/>
      <c r="K101" s="18"/>
    </row>
    <row r="102" ht="15.75" customHeight="1">
      <c r="G102" s="16">
        <f t="shared" si="1"/>
        <v>0.95</v>
      </c>
      <c r="H102" s="17">
        <v>0.15016</v>
      </c>
      <c r="I102" s="17">
        <v>0.2246315763645</v>
      </c>
      <c r="J102" s="18"/>
      <c r="K102" s="18"/>
    </row>
    <row r="103" ht="15.75" customHeight="1">
      <c r="G103" s="16">
        <f t="shared" si="1"/>
        <v>0.96</v>
      </c>
      <c r="H103" s="17">
        <v>0.150068</v>
      </c>
      <c r="I103" s="17">
        <v>0.225625082435442</v>
      </c>
      <c r="J103" s="18"/>
      <c r="K103" s="18"/>
    </row>
    <row r="104" ht="15.75" customHeight="1">
      <c r="G104" s="16">
        <f t="shared" si="1"/>
        <v>0.97</v>
      </c>
      <c r="H104" s="17">
        <v>0.149976</v>
      </c>
      <c r="I104" s="17">
        <v>0.226638950041691</v>
      </c>
      <c r="J104" s="18"/>
      <c r="K104" s="18"/>
    </row>
    <row r="105" ht="15.75" customHeight="1">
      <c r="G105" s="16">
        <f t="shared" si="1"/>
        <v>0.98</v>
      </c>
      <c r="H105" s="17">
        <v>0.149884</v>
      </c>
      <c r="I105" s="17">
        <v>0.227672907162886</v>
      </c>
      <c r="J105" s="18"/>
      <c r="K105" s="18"/>
    </row>
    <row r="106" ht="15.75" customHeight="1">
      <c r="G106" s="16">
        <f t="shared" si="1"/>
        <v>0.99</v>
      </c>
      <c r="H106" s="17">
        <v>0.149792</v>
      </c>
      <c r="I106" s="17">
        <v>0.228726681355718</v>
      </c>
      <c r="J106" s="18"/>
      <c r="K106" s="18"/>
    </row>
    <row r="107" ht="15.75" customHeight="1">
      <c r="G107" s="16">
        <f t="shared" si="1"/>
        <v>1</v>
      </c>
      <c r="H107" s="17">
        <v>0.1497</v>
      </c>
      <c r="I107" s="17">
        <v>0.2298</v>
      </c>
      <c r="J107" s="18"/>
      <c r="K107" s="18"/>
    </row>
    <row r="108" ht="15.75" customHeight="1">
      <c r="G108" s="27"/>
      <c r="J108" s="12"/>
      <c r="K108" s="12"/>
    </row>
    <row r="109" ht="15.75" customHeight="1">
      <c r="G109" s="27"/>
      <c r="J109" s="12"/>
      <c r="K109" s="12"/>
    </row>
    <row r="110" ht="15.75" customHeight="1">
      <c r="G110" s="27"/>
      <c r="J110" s="12"/>
      <c r="K110" s="12"/>
    </row>
    <row r="111" ht="15.75" customHeight="1">
      <c r="G111" s="27"/>
      <c r="J111" s="12"/>
      <c r="K111" s="12"/>
    </row>
    <row r="112" ht="15.75" customHeight="1">
      <c r="G112" s="27"/>
      <c r="J112" s="12"/>
      <c r="K112" s="12"/>
    </row>
    <row r="113" ht="15.75" customHeight="1">
      <c r="G113" s="27"/>
      <c r="J113" s="12"/>
      <c r="K113" s="12"/>
    </row>
    <row r="114" ht="15.75" customHeight="1">
      <c r="G114" s="27"/>
      <c r="J114" s="12"/>
      <c r="K114" s="12"/>
    </row>
    <row r="115" ht="15.75" customHeight="1">
      <c r="G115" s="27"/>
      <c r="J115" s="12"/>
      <c r="K115" s="12"/>
    </row>
    <row r="116" ht="15.75" customHeight="1">
      <c r="G116" s="27"/>
      <c r="J116" s="12"/>
      <c r="K116" s="12"/>
    </row>
    <row r="117" ht="15.75" customHeight="1">
      <c r="G117" s="27"/>
      <c r="J117" s="12"/>
      <c r="K117" s="12"/>
    </row>
    <row r="118" ht="15.75" customHeight="1">
      <c r="G118" s="27"/>
      <c r="J118" s="12"/>
      <c r="K118" s="12"/>
    </row>
    <row r="119" ht="15.75" customHeight="1">
      <c r="G119" s="27"/>
      <c r="J119" s="12"/>
      <c r="K119" s="12"/>
    </row>
    <row r="120" ht="15.75" customHeight="1">
      <c r="G120" s="27"/>
      <c r="J120" s="12"/>
      <c r="K120" s="12"/>
    </row>
    <row r="121" ht="15.75" customHeight="1">
      <c r="G121" s="27"/>
      <c r="J121" s="12"/>
      <c r="K121" s="12"/>
    </row>
    <row r="122" ht="15.75" customHeight="1">
      <c r="G122" s="27"/>
      <c r="J122" s="12"/>
      <c r="K122" s="12"/>
    </row>
    <row r="123" ht="15.75" customHeight="1">
      <c r="G123" s="27"/>
      <c r="J123" s="12"/>
      <c r="K123" s="12"/>
    </row>
    <row r="124" ht="15.75" customHeight="1">
      <c r="G124" s="27"/>
      <c r="J124" s="12"/>
      <c r="K124" s="12"/>
    </row>
    <row r="125" ht="15.75" customHeight="1">
      <c r="G125" s="27"/>
      <c r="J125" s="12"/>
      <c r="K125" s="12"/>
    </row>
    <row r="126" ht="15.75" customHeight="1">
      <c r="G126" s="27"/>
      <c r="J126" s="12"/>
      <c r="K126" s="12"/>
    </row>
    <row r="127" ht="15.75" customHeight="1">
      <c r="G127" s="27"/>
      <c r="J127" s="12"/>
      <c r="K127" s="12"/>
    </row>
    <row r="128" ht="15.75" customHeight="1">
      <c r="G128" s="27"/>
      <c r="J128" s="12"/>
      <c r="K128" s="12"/>
    </row>
    <row r="129" ht="15.75" customHeight="1">
      <c r="G129" s="27"/>
      <c r="J129" s="12"/>
      <c r="K129" s="12"/>
    </row>
    <row r="130" ht="15.75" customHeight="1">
      <c r="G130" s="27"/>
      <c r="J130" s="12"/>
      <c r="K130" s="12"/>
    </row>
    <row r="131" ht="15.75" customHeight="1">
      <c r="G131" s="27"/>
      <c r="J131" s="12"/>
      <c r="K131" s="12"/>
    </row>
    <row r="132" ht="15.75" customHeight="1">
      <c r="G132" s="27"/>
      <c r="J132" s="12"/>
      <c r="K132" s="12"/>
    </row>
    <row r="133" ht="15.75" customHeight="1">
      <c r="G133" s="27"/>
      <c r="J133" s="12"/>
      <c r="K133" s="12"/>
    </row>
    <row r="134" ht="15.75" customHeight="1">
      <c r="G134" s="27"/>
      <c r="J134" s="12"/>
      <c r="K134" s="12"/>
    </row>
    <row r="135" ht="15.75" customHeight="1">
      <c r="G135" s="27"/>
      <c r="J135" s="12"/>
      <c r="K135" s="12"/>
    </row>
    <row r="136" ht="15.75" customHeight="1">
      <c r="G136" s="27"/>
      <c r="J136" s="12"/>
      <c r="K136" s="12"/>
    </row>
    <row r="137" ht="15.75" customHeight="1">
      <c r="G137" s="27"/>
      <c r="J137" s="12"/>
      <c r="K137" s="12"/>
    </row>
    <row r="138" ht="15.75" customHeight="1">
      <c r="G138" s="27"/>
      <c r="J138" s="12"/>
      <c r="K138" s="12"/>
    </row>
    <row r="139" ht="15.75" customHeight="1">
      <c r="G139" s="27"/>
      <c r="J139" s="12"/>
      <c r="K139" s="12"/>
    </row>
    <row r="140" ht="15.75" customHeight="1">
      <c r="G140" s="27"/>
    </row>
    <row r="141" ht="15.75" customHeight="1">
      <c r="G141" s="27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5:I5"/>
    <mergeCell ref="L5:R5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2016-09-26T21:30:34Z</dcterms:created>
  <dc:creator>Arzu  Ozoguz</dc:creator>
</cp:coreProperties>
</file>